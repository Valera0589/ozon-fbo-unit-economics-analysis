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Work\ТЗ_Юнит_Экон\"/>
    </mc:Choice>
  </mc:AlternateContent>
  <xr:revisionPtr revIDLastSave="0" documentId="13_ncr:1_{BC8BD53C-2403-45BD-9125-B5A4FD956022}" xr6:coauthVersionLast="47" xr6:coauthVersionMax="47" xr10:uidLastSave="{00000000-0000-0000-0000-000000000000}"/>
  <bookViews>
    <workbookView xWindow="-120" yWindow="-120" windowWidth="24240" windowHeight="13140" activeTab="1" xr2:uid="{267C75E5-A90A-4FF6-8F10-8DC68C510D06}"/>
  </bookViews>
  <sheets>
    <sheet name="Дашборд" sheetId="2" r:id="rId1"/>
    <sheet name="Расчет" sheetId="1" r:id="rId2"/>
    <sheet name="Вводные данные" sheetId="3" r:id="rId3"/>
  </sheets>
  <definedNames>
    <definedName name="_xlnm._FilterDatabase" localSheetId="1" hidden="1">Расчет!$A$1:$I$11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M8" i="1"/>
  <c r="L7" i="1"/>
  <c r="L6" i="1"/>
  <c r="L3" i="1"/>
  <c r="L2" i="1"/>
  <c r="D1" i="2"/>
  <c r="E3" i="1"/>
  <c r="G3" i="1" s="1"/>
  <c r="H3" i="1" s="1"/>
  <c r="E9" i="1"/>
  <c r="G9" i="1" s="1"/>
  <c r="H9" i="1" s="1"/>
  <c r="E6" i="1"/>
  <c r="G6" i="1" s="1"/>
  <c r="H6" i="1" s="1"/>
  <c r="E4" i="1"/>
  <c r="G4" i="1" s="1"/>
  <c r="H4" i="1" s="1"/>
  <c r="E7" i="1"/>
  <c r="G7" i="1" s="1"/>
  <c r="H7" i="1" s="1"/>
  <c r="E8" i="1"/>
  <c r="G8" i="1" s="1"/>
  <c r="H8" i="1" s="1"/>
  <c r="E11" i="1"/>
  <c r="G11" i="1" s="1"/>
  <c r="H11" i="1" s="1"/>
  <c r="E10" i="1"/>
  <c r="G10" i="1" s="1"/>
  <c r="E2" i="1"/>
  <c r="G2" i="1" s="1"/>
  <c r="H2" i="1" s="1"/>
  <c r="E5" i="1"/>
  <c r="G5" i="1" s="1"/>
  <c r="H5" i="1" s="1"/>
  <c r="I8" i="1" l="1"/>
  <c r="H10" i="1"/>
  <c r="I10" i="1"/>
  <c r="I3" i="1"/>
  <c r="T1" i="2"/>
  <c r="I6" i="1"/>
  <c r="I7" i="1"/>
  <c r="H1" i="2"/>
  <c r="I11" i="1"/>
  <c r="I5" i="1"/>
  <c r="I9" i="1"/>
  <c r="I2" i="1"/>
  <c r="I4" i="1"/>
  <c r="P1" i="2"/>
  <c r="L1" i="2" l="1"/>
</calcChain>
</file>

<file path=xl/sharedStrings.xml><?xml version="1.0" encoding="utf-8"?>
<sst xmlns="http://schemas.openxmlformats.org/spreadsheetml/2006/main" count="30" uniqueCount="26">
  <si>
    <t>Арт.</t>
  </si>
  <si>
    <t>Зак.цена</t>
  </si>
  <si>
    <t>Роз.цена</t>
  </si>
  <si>
    <t>Наименование</t>
  </si>
  <si>
    <t>Подводная камера для рыбалки</t>
  </si>
  <si>
    <t>Маска для плавания с трубкой</t>
  </si>
  <si>
    <t>Валовая прибыль</t>
  </si>
  <si>
    <t>Видеоняня с монитором IlPro SM650</t>
  </si>
  <si>
    <t>Дрон x30 Pro Max 8K</t>
  </si>
  <si>
    <t>Ароматизатор для автомобиля, автоматический</t>
  </si>
  <si>
    <t>Затраты на озон(FBO)/шт</t>
  </si>
  <si>
    <t>Чистая прибыль</t>
  </si>
  <si>
    <t>Маржа</t>
  </si>
  <si>
    <t>ROI</t>
  </si>
  <si>
    <t>Товаров в матрице :</t>
  </si>
  <si>
    <t>Средняя чистая прибыль :</t>
  </si>
  <si>
    <t>Средний ROI :</t>
  </si>
  <si>
    <t>Лидер по прибыли :</t>
  </si>
  <si>
    <t>Аутсайдер :</t>
  </si>
  <si>
    <t>Умные очки с камерой с AI</t>
  </si>
  <si>
    <t>Пароочиститель для уборки дома</t>
  </si>
  <si>
    <t xml:space="preserve">Спальный мешок-одеяло с кап. 220х180 см </t>
  </si>
  <si>
    <t>Подогреватель для бутылочек портативный</t>
  </si>
  <si>
    <t>Гриндер для когтей собак</t>
  </si>
  <si>
    <t>Среднее значение</t>
  </si>
  <si>
    <t>Данные для матрицы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</si>
</sst>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#,##0\ &quot;₽&quot;"/>
    <numFmt numFmtId="168" formatCode="0.0%"/>
    <numFmt numFmtId="174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3" borderId="6" xfId="0" applyNumberFormat="1" applyFill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167" fontId="0" fillId="2" borderId="3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2" borderId="8" xfId="0" applyNumberFormat="1" applyFill="1" applyBorder="1" applyAlignment="1">
      <alignment horizontal="center" vertical="center"/>
    </xf>
    <xf numFmtId="167" fontId="0" fillId="2" borderId="4" xfId="0" applyNumberFormat="1" applyFill="1" applyBorder="1" applyAlignment="1">
      <alignment horizontal="center" vertical="center"/>
    </xf>
    <xf numFmtId="167" fontId="0" fillId="2" borderId="5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9" xfId="1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67" fontId="0" fillId="2" borderId="12" xfId="0" applyNumberFormat="1" applyFill="1" applyBorder="1" applyAlignment="1">
      <alignment horizontal="center" vertical="center"/>
    </xf>
    <xf numFmtId="167" fontId="0" fillId="2" borderId="13" xfId="0" applyNumberFormat="1" applyFill="1" applyBorder="1" applyAlignment="1">
      <alignment horizontal="center" vertical="center"/>
    </xf>
    <xf numFmtId="168" fontId="0" fillId="2" borderId="12" xfId="1" applyNumberFormat="1" applyFont="1" applyFill="1" applyBorder="1" applyAlignment="1">
      <alignment horizontal="center" vertical="center"/>
    </xf>
    <xf numFmtId="168" fontId="0" fillId="2" borderId="13" xfId="1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8" fontId="2" fillId="0" borderId="9" xfId="1" applyNumberFormat="1" applyFont="1" applyBorder="1" applyAlignment="1">
      <alignment horizontal="center" vertical="center"/>
    </xf>
    <xf numFmtId="168" fontId="2" fillId="0" borderId="4" xfId="1" applyNumberFormat="1" applyFont="1" applyBorder="1" applyAlignment="1">
      <alignment horizontal="center" vertical="center"/>
    </xf>
    <xf numFmtId="168" fontId="0" fillId="0" borderId="4" xfId="1" applyNumberFormat="1" applyFont="1" applyBorder="1" applyAlignment="1">
      <alignment horizontal="center" vertical="center"/>
    </xf>
    <xf numFmtId="174" fontId="0" fillId="0" borderId="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4" fontId="0" fillId="0" borderId="1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4" fontId="0" fillId="0" borderId="12" xfId="0" applyNumberForma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Расчет!$G$1</c:f>
              <c:strCache>
                <c:ptCount val="1"/>
                <c:pt idx="0">
                  <c:v>Чистая прибыль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Расчет!$A$2:$A$11</c:f>
              <c:strCache>
                <c:ptCount val="10"/>
                <c:pt idx="0">
                  <c:v>Гриндер для когтей собак</c:v>
                </c:pt>
                <c:pt idx="1">
                  <c:v>Ароматизатор для автомобиля, автоматический</c:v>
                </c:pt>
                <c:pt idx="2">
                  <c:v>Маска для плавания с трубкой</c:v>
                </c:pt>
                <c:pt idx="3">
                  <c:v>Подогреватель для бутылочек портативный</c:v>
                </c:pt>
                <c:pt idx="4">
                  <c:v>Видеоняня с монитором IlPro SM650</c:v>
                </c:pt>
                <c:pt idx="5">
                  <c:v>Спальный мешок-одеяло с кап. 220х180 см </c:v>
                </c:pt>
                <c:pt idx="6">
                  <c:v>Подводная камера для рыбалки</c:v>
                </c:pt>
                <c:pt idx="7">
                  <c:v>Дрон x30 Pro Max 8K</c:v>
                </c:pt>
                <c:pt idx="8">
                  <c:v>Пароочиститель для уборки дома</c:v>
                </c:pt>
                <c:pt idx="9">
                  <c:v>Умные очки с камерой с AI</c:v>
                </c:pt>
              </c:strCache>
            </c:strRef>
          </c:cat>
          <c:val>
            <c:numRef>
              <c:f>Расчет!$G$2:$G$11</c:f>
              <c:numCache>
                <c:formatCode>#\ ##0\ "₽"</c:formatCode>
                <c:ptCount val="10"/>
                <c:pt idx="0">
                  <c:v>81</c:v>
                </c:pt>
                <c:pt idx="1">
                  <c:v>177</c:v>
                </c:pt>
                <c:pt idx="2">
                  <c:v>365</c:v>
                </c:pt>
                <c:pt idx="3">
                  <c:v>381</c:v>
                </c:pt>
                <c:pt idx="4">
                  <c:v>867</c:v>
                </c:pt>
                <c:pt idx="5">
                  <c:v>997</c:v>
                </c:pt>
                <c:pt idx="6">
                  <c:v>1089</c:v>
                </c:pt>
                <c:pt idx="7">
                  <c:v>2665</c:v>
                </c:pt>
                <c:pt idx="8">
                  <c:v>4061</c:v>
                </c:pt>
                <c:pt idx="9">
                  <c:v>5231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0-4BFA-99DD-89CD945DA5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2491535"/>
        <c:axId val="1452474895"/>
      </c:barChart>
      <c:catAx>
        <c:axId val="1452491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2474895"/>
        <c:crosses val="autoZero"/>
        <c:auto val="1"/>
        <c:lblAlgn val="ctr"/>
        <c:lblOffset val="100"/>
        <c:noMultiLvlLbl val="0"/>
      </c:catAx>
      <c:valAx>
        <c:axId val="14524748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24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Матрица </a:t>
            </a:r>
            <a:r>
              <a:rPr lang="en-US"/>
              <a:t>BCG: ROI vs </a:t>
            </a:r>
            <a:r>
              <a:rPr lang="ru-RU"/>
              <a:t>Маржа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Товар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014EDBC-B673-40B0-9C01-716AF422B59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930-4E7F-AA75-99118F5BF37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7D6EC92-8AE4-4574-ABAC-74CB5A2D955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930-4E7F-AA75-99118F5BF37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5FF5FD2-4336-4DBE-AA97-8639F108354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930-4E7F-AA75-99118F5BF37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B95310F-72E2-4D57-BC11-F711D3A6D5F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930-4E7F-AA75-99118F5BF37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F944F18-2AD0-44DB-9441-35722521A4B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930-4E7F-AA75-99118F5BF37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6B4D288-08D2-4C60-B0D3-CA5B647713C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930-4E7F-AA75-99118F5BF37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0204B52-1483-4DAF-83A1-4437B94FFEA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930-4E7F-AA75-99118F5BF37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BD6AED4-7856-4459-91E8-66404143014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930-4E7F-AA75-99118F5BF37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FBC7FE1-B0B1-429E-9CB6-DB0E9129D77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930-4E7F-AA75-99118F5BF37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F45B907-AD91-40FB-A478-90655448439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930-4E7F-AA75-99118F5BF3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Расчет!$H$2:$H$11</c:f>
              <c:numCache>
                <c:formatCode>0.0%</c:formatCode>
                <c:ptCount val="10"/>
                <c:pt idx="0">
                  <c:v>7.4861367837338266E-2</c:v>
                </c:pt>
                <c:pt idx="1">
                  <c:v>0.13238593866866119</c:v>
                </c:pt>
                <c:pt idx="2">
                  <c:v>0.21370023419203746</c:v>
                </c:pt>
                <c:pt idx="3">
                  <c:v>0.1711590296495957</c:v>
                </c:pt>
                <c:pt idx="4">
                  <c:v>0.13925473819466752</c:v>
                </c:pt>
                <c:pt idx="5">
                  <c:v>0.31540651692502375</c:v>
                </c:pt>
                <c:pt idx="6">
                  <c:v>0.22811059907834103</c:v>
                </c:pt>
                <c:pt idx="7">
                  <c:v>0.31900885803208046</c:v>
                </c:pt>
                <c:pt idx="8">
                  <c:v>0.36078535891968727</c:v>
                </c:pt>
                <c:pt idx="9">
                  <c:v>0.42359705239290629</c:v>
                </c:pt>
              </c:numCache>
            </c:numRef>
          </c:xVal>
          <c:yVal>
            <c:numRef>
              <c:f>Расчет!$I$2:$I$11</c:f>
              <c:numCache>
                <c:formatCode>0.0%</c:formatCode>
                <c:ptCount val="10"/>
                <c:pt idx="0">
                  <c:v>0.20199501246882792</c:v>
                </c:pt>
                <c:pt idx="1">
                  <c:v>0.33396226415094338</c:v>
                </c:pt>
                <c:pt idx="2">
                  <c:v>0.73</c:v>
                </c:pt>
                <c:pt idx="3">
                  <c:v>0.61850649350649356</c:v>
                </c:pt>
                <c:pt idx="4">
                  <c:v>0.3940909090909091</c:v>
                </c:pt>
                <c:pt idx="5">
                  <c:v>1.6371100164203614</c:v>
                </c:pt>
                <c:pt idx="6">
                  <c:v>0.67472118959107807</c:v>
                </c:pt>
                <c:pt idx="7">
                  <c:v>1.4026315789473685</c:v>
                </c:pt>
                <c:pt idx="8">
                  <c:v>1.5124767225325884</c:v>
                </c:pt>
                <c:pt idx="9">
                  <c:v>2.3777272727272729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Расчет!$A$2:$A$11</c15:f>
                <c15:dlblRangeCache>
                  <c:ptCount val="10"/>
                  <c:pt idx="0">
                    <c:v>Гриндер для когтей собак</c:v>
                  </c:pt>
                  <c:pt idx="1">
                    <c:v>Ароматизатор для автомобиля, автоматический</c:v>
                  </c:pt>
                  <c:pt idx="2">
                    <c:v>Маска для плавания с трубкой</c:v>
                  </c:pt>
                  <c:pt idx="3">
                    <c:v>Подогреватель для бутылочек портативный</c:v>
                  </c:pt>
                  <c:pt idx="4">
                    <c:v>Видеоняня с монитором IlPro SM650</c:v>
                  </c:pt>
                  <c:pt idx="5">
                    <c:v>Спальный мешок-одеяло с кап. 220х180 см </c:v>
                  </c:pt>
                  <c:pt idx="6">
                    <c:v>Подводная камера для рыбалки</c:v>
                  </c:pt>
                  <c:pt idx="7">
                    <c:v>Дрон x30 Pro Max 8K</c:v>
                  </c:pt>
                  <c:pt idx="8">
                    <c:v>Пароочиститель для уборки дома</c:v>
                  </c:pt>
                  <c:pt idx="9">
                    <c:v>Умные очки с камерой с AI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9930-4E7F-AA75-99118F5BF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758815"/>
        <c:axId val="1693763391"/>
      </c:scatterChart>
      <c:valAx>
        <c:axId val="16937588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3763391"/>
        <c:crosses val="autoZero"/>
        <c:crossBetween val="midCat"/>
      </c:valAx>
      <c:valAx>
        <c:axId val="169376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375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590549</xdr:colOff>
      <xdr:row>3</xdr:row>
      <xdr:rowOff>9524</xdr:rowOff>
    </xdr:from>
    <xdr:to>
      <xdr:col>10</xdr:col>
      <xdr:colOff>485775</xdr:colOff>
      <xdr:row>28</xdr:row>
      <xdr:rowOff>66675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2C5D319-32F7-4582-950F-4144C868A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409575</xdr:colOff>
      <xdr:row>3</xdr:row>
      <xdr:rowOff>9524</xdr:rowOff>
    </xdr:from>
    <xdr:to>
      <xdr:col>22</xdr:col>
      <xdr:colOff>123825</xdr:colOff>
      <xdr:row>28</xdr:row>
      <xdr:rowOff>66675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12FFCFB-161E-4344-9DFB-C7E66E90A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95250</xdr:rowOff>
    </xdr:from>
    <xdr:to>
      <xdr:col>6</xdr:col>
      <xdr:colOff>419100</xdr:colOff>
      <xdr:row>13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C9034B-187E-4B11-AC77-30C6A771FDD5}"/>
            </a:ext>
          </a:extLst>
        </xdr:cNvPr>
        <xdr:cNvSpPr txBox="1"/>
      </xdr:nvSpPr>
      <xdr:spPr>
        <a:xfrm>
          <a:off x="161925" y="95250"/>
          <a:ext cx="3914775" cy="24955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📥 ИСТОЧНИКИ ДАННЫХ:</a:t>
          </a:r>
        </a:p>
        <a:p>
          <a:r>
            <a:rPr lang="ru-RU" sz="1100"/>
            <a:t>1. Артикул и закупочная цена — из тестового задания</a:t>
          </a:r>
        </a:p>
        <a:p>
          <a:r>
            <a:rPr lang="ru-RU" sz="1100"/>
            <a:t>2. Розничная цена — из тестового задания</a:t>
          </a:r>
        </a:p>
        <a:p>
          <a:r>
            <a:rPr lang="ru-RU" sz="1100"/>
            <a:t>3. Затраты на </a:t>
          </a:r>
          <a:r>
            <a:rPr lang="en-US" sz="1100"/>
            <a:t>Ozon FBO — </a:t>
          </a:r>
          <a:r>
            <a:rPr lang="ru-RU" sz="1100"/>
            <a:t>расчет через онлайн-калькулятор </a:t>
          </a:r>
          <a:r>
            <a:rPr lang="en-US" sz="1100"/>
            <a:t>Ozon </a:t>
          </a:r>
        </a:p>
        <a:p>
          <a:r>
            <a:rPr lang="en-US" sz="1100"/>
            <a:t>   (https://seller-edu.ozon.ru/docs/uchebnik/tarify-tsi-fbo.html)</a:t>
          </a:r>
        </a:p>
        <a:p>
          <a:endParaRPr lang="en-US" sz="1100"/>
        </a:p>
        <a:p>
          <a:r>
            <a:rPr lang="ru-RU" sz="1100"/>
            <a:t>📊 ПАРАМЕТРЫ МОДЕЛИ:</a:t>
          </a:r>
        </a:p>
        <a:p>
          <a:r>
            <a:rPr lang="ru-RU" sz="1100"/>
            <a:t>- Платформа: </a:t>
          </a:r>
          <a:r>
            <a:rPr lang="en-US" sz="1100"/>
            <a:t>Ozon FBO</a:t>
          </a:r>
        </a:p>
        <a:p>
          <a:r>
            <a:rPr lang="en-US" sz="1100"/>
            <a:t>- </a:t>
          </a:r>
          <a:r>
            <a:rPr lang="ru-RU" sz="1100"/>
            <a:t>Налоговая ставка: УСН 7% (если применимо)</a:t>
          </a:r>
        </a:p>
        <a:p>
          <a:r>
            <a:rPr lang="ru-RU" sz="1100"/>
            <a:t>- Период расчета: разовый (на единицу товара)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4895-CF67-4082-952A-879178D2EE91}">
  <dimension ref="B1:T2"/>
  <sheetViews>
    <sheetView showGridLines="0" workbookViewId="0">
      <selection activeCell="V2" sqref="V2"/>
    </sheetView>
  </sheetViews>
  <sheetFormatPr defaultRowHeight="15" x14ac:dyDescent="0.25"/>
  <cols>
    <col min="16" max="16" width="14.5703125" customWidth="1"/>
    <col min="20" max="20" width="14.28515625" customWidth="1"/>
  </cols>
  <sheetData>
    <row r="1" spans="2:20" x14ac:dyDescent="0.25">
      <c r="B1" s="30" t="s">
        <v>14</v>
      </c>
      <c r="C1" s="31"/>
      <c r="D1" s="24">
        <f>COUNTA(Расчет!A2:A11)</f>
        <v>10</v>
      </c>
      <c r="F1" s="34" t="s">
        <v>15</v>
      </c>
      <c r="G1" s="35"/>
      <c r="H1" s="26">
        <f>AVERAGE(Расчет!G2:G11)</f>
        <v>1591.4</v>
      </c>
      <c r="J1" s="30" t="s">
        <v>16</v>
      </c>
      <c r="K1" s="38"/>
      <c r="L1" s="28">
        <f>AVERAGE(Расчет!I2:I11)</f>
        <v>0.98832214594358447</v>
      </c>
      <c r="N1" s="40" t="s">
        <v>17</v>
      </c>
      <c r="O1" s="41"/>
      <c r="P1" s="42" t="str">
        <f>INDEX(Расчет!A2:A11,MATCH(MAX(Расчет!G2:G11),Расчет!G2:G11,0))</f>
        <v>Умные очки с камерой с AI</v>
      </c>
      <c r="R1" s="40" t="s">
        <v>18</v>
      </c>
      <c r="S1" s="41"/>
      <c r="T1" s="42" t="str">
        <f>INDEX(Расчет!A2:A11,MATCH(MIN(Расчет!G2:G11),Расчет!G2:G11,0))</f>
        <v>Гриндер для когтей собак</v>
      </c>
    </row>
    <row r="2" spans="2:20" x14ac:dyDescent="0.25">
      <c r="B2" s="32"/>
      <c r="C2" s="33"/>
      <c r="D2" s="25"/>
      <c r="F2" s="36"/>
      <c r="G2" s="37"/>
      <c r="H2" s="27"/>
      <c r="J2" s="32"/>
      <c r="K2" s="39"/>
      <c r="L2" s="29"/>
      <c r="N2" s="43"/>
      <c r="O2" s="44"/>
      <c r="P2" s="45"/>
      <c r="R2" s="43"/>
      <c r="S2" s="44"/>
      <c r="T2" s="45"/>
    </row>
  </sheetData>
  <mergeCells count="10">
    <mergeCell ref="L1:L2"/>
    <mergeCell ref="N1:O2"/>
    <mergeCell ref="P1:P2"/>
    <mergeCell ref="R1:S2"/>
    <mergeCell ref="T1:T2"/>
    <mergeCell ref="B1:C2"/>
    <mergeCell ref="D1:D2"/>
    <mergeCell ref="F1:G2"/>
    <mergeCell ref="H1:H2"/>
    <mergeCell ref="J1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F364-026D-412B-BF45-98AB0F651AB6}">
  <dimension ref="A1:AA11"/>
  <sheetViews>
    <sheetView tabSelected="1" workbookViewId="0">
      <pane ySplit="1" topLeftCell="A2" activePane="bottomLeft" state="frozen"/>
      <selection pane="bottomLeft" activeCell="M23" sqref="M23"/>
    </sheetView>
  </sheetViews>
  <sheetFormatPr defaultRowHeight="15" x14ac:dyDescent="0.25"/>
  <cols>
    <col min="1" max="1" width="51" style="2" customWidth="1"/>
    <col min="2" max="2" width="12.42578125" style="1" bestFit="1" customWidth="1"/>
    <col min="3" max="3" width="9" style="21" bestFit="1" customWidth="1"/>
    <col min="4" max="4" width="10.5703125" style="21" bestFit="1" customWidth="1"/>
    <col min="5" max="5" width="17.28515625" style="21" bestFit="1" customWidth="1"/>
    <col min="6" max="6" width="24.28515625" style="21" bestFit="1" customWidth="1"/>
    <col min="7" max="7" width="15.7109375" style="21" bestFit="1" customWidth="1"/>
    <col min="8" max="8" width="7.7109375" style="23" bestFit="1" customWidth="1"/>
    <col min="9" max="9" width="7.140625" style="23" bestFit="1" customWidth="1"/>
    <col min="10" max="10" width="9.140625" style="1"/>
    <col min="11" max="11" width="11.140625" style="1" customWidth="1"/>
    <col min="12" max="12" width="10" style="1" customWidth="1"/>
    <col min="13" max="13" width="7.7109375" style="1" customWidth="1"/>
    <col min="14" max="14" width="13" style="1" customWidth="1"/>
    <col min="15" max="27" width="9.140625" style="1"/>
  </cols>
  <sheetData>
    <row r="1" spans="1:16" x14ac:dyDescent="0.25">
      <c r="A1" s="3" t="s">
        <v>3</v>
      </c>
      <c r="B1" s="9" t="s">
        <v>0</v>
      </c>
      <c r="C1" s="10" t="s">
        <v>1</v>
      </c>
      <c r="D1" s="11" t="s">
        <v>2</v>
      </c>
      <c r="E1" s="12" t="s">
        <v>6</v>
      </c>
      <c r="F1" s="10" t="s">
        <v>10</v>
      </c>
      <c r="G1" s="11" t="s">
        <v>11</v>
      </c>
      <c r="H1" s="52" t="s">
        <v>12</v>
      </c>
      <c r="I1" s="53" t="s">
        <v>13</v>
      </c>
      <c r="J1" s="51"/>
      <c r="K1" s="40" t="s">
        <v>24</v>
      </c>
      <c r="L1" s="46"/>
      <c r="O1" s="51"/>
      <c r="P1" s="51"/>
    </row>
    <row r="2" spans="1:16" x14ac:dyDescent="0.25">
      <c r="A2" s="4" t="s">
        <v>23</v>
      </c>
      <c r="B2" s="7">
        <v>3245847975</v>
      </c>
      <c r="C2" s="13">
        <v>401</v>
      </c>
      <c r="D2" s="14">
        <v>1082</v>
      </c>
      <c r="E2" s="15">
        <f>D2-C2</f>
        <v>681</v>
      </c>
      <c r="F2" s="15">
        <v>600</v>
      </c>
      <c r="G2" s="16">
        <f>E2-F2</f>
        <v>81</v>
      </c>
      <c r="H2" s="22">
        <f>G2/D2</f>
        <v>7.4861367837338266E-2</v>
      </c>
      <c r="I2" s="54">
        <f>G2/C2</f>
        <v>0.20199501246882792</v>
      </c>
      <c r="K2" s="47" t="s">
        <v>13</v>
      </c>
      <c r="L2" s="48">
        <f>AVERAGE(I2:I11)</f>
        <v>0.98832214594358447</v>
      </c>
    </row>
    <row r="3" spans="1:16" x14ac:dyDescent="0.25">
      <c r="A3" s="4" t="s">
        <v>9</v>
      </c>
      <c r="B3" s="7">
        <v>1746366524</v>
      </c>
      <c r="C3" s="13">
        <v>530</v>
      </c>
      <c r="D3" s="17">
        <v>1337</v>
      </c>
      <c r="E3" s="15">
        <f>D3-C3</f>
        <v>807</v>
      </c>
      <c r="F3" s="15">
        <v>630</v>
      </c>
      <c r="G3" s="18">
        <f>E3-F3</f>
        <v>177</v>
      </c>
      <c r="H3" s="22">
        <f>G3/D3</f>
        <v>0.13238593866866119</v>
      </c>
      <c r="I3" s="54">
        <f>G3/C3</f>
        <v>0.33396226415094338</v>
      </c>
      <c r="K3" s="49" t="s">
        <v>12</v>
      </c>
      <c r="L3" s="50">
        <f>AVERAGE(H2:H11)</f>
        <v>0.23782696938903389</v>
      </c>
    </row>
    <row r="4" spans="1:16" x14ac:dyDescent="0.25">
      <c r="A4" s="4" t="s">
        <v>5</v>
      </c>
      <c r="B4" s="7">
        <v>3390573801</v>
      </c>
      <c r="C4" s="13">
        <v>500</v>
      </c>
      <c r="D4" s="17">
        <v>1708</v>
      </c>
      <c r="E4" s="15">
        <f>D4-C4</f>
        <v>1208</v>
      </c>
      <c r="F4" s="15">
        <v>843</v>
      </c>
      <c r="G4" s="18">
        <f>E4-F4</f>
        <v>365</v>
      </c>
      <c r="H4" s="22">
        <f>G4/D4</f>
        <v>0.21370023419203746</v>
      </c>
      <c r="I4" s="54">
        <f>G4/C4</f>
        <v>0.73</v>
      </c>
    </row>
    <row r="5" spans="1:16" x14ac:dyDescent="0.25">
      <c r="A5" s="4" t="s">
        <v>22</v>
      </c>
      <c r="B5" s="6">
        <v>2830325376</v>
      </c>
      <c r="C5" s="13">
        <v>616</v>
      </c>
      <c r="D5" s="17">
        <v>2226</v>
      </c>
      <c r="E5" s="15">
        <f>D5-C5</f>
        <v>1610</v>
      </c>
      <c r="F5" s="15">
        <v>1229</v>
      </c>
      <c r="G5" s="18">
        <f>E5-F5</f>
        <v>381</v>
      </c>
      <c r="H5" s="22">
        <f>G5/D5</f>
        <v>0.1711590296495957</v>
      </c>
      <c r="I5" s="54">
        <f>G5/C5</f>
        <v>0.61850649350649356</v>
      </c>
      <c r="K5" s="59" t="s">
        <v>25</v>
      </c>
      <c r="L5" s="60"/>
      <c r="M5" s="61"/>
    </row>
    <row r="6" spans="1:16" x14ac:dyDescent="0.25">
      <c r="A6" s="4" t="s">
        <v>7</v>
      </c>
      <c r="B6" s="7">
        <v>2642588105</v>
      </c>
      <c r="C6" s="13">
        <v>2200</v>
      </c>
      <c r="D6" s="17">
        <v>6226</v>
      </c>
      <c r="E6" s="15">
        <f>D6-C6</f>
        <v>4026</v>
      </c>
      <c r="F6" s="15">
        <v>3159</v>
      </c>
      <c r="G6" s="18">
        <f>E6-F6</f>
        <v>867</v>
      </c>
      <c r="H6" s="22">
        <f>G6/D6</f>
        <v>0.13925473819466752</v>
      </c>
      <c r="I6" s="54">
        <f>G6/C6</f>
        <v>0.3940909090909091</v>
      </c>
      <c r="K6" s="62" t="s">
        <v>12</v>
      </c>
      <c r="L6" s="55">
        <f>L3</f>
        <v>0.23782696938903389</v>
      </c>
      <c r="M6" s="56">
        <v>0</v>
      </c>
    </row>
    <row r="7" spans="1:16" x14ac:dyDescent="0.25">
      <c r="A7" s="4" t="s">
        <v>21</v>
      </c>
      <c r="B7" s="7">
        <v>1566845960</v>
      </c>
      <c r="C7" s="13">
        <v>609</v>
      </c>
      <c r="D7" s="17">
        <v>3161</v>
      </c>
      <c r="E7" s="15">
        <f>D7-C7</f>
        <v>2552</v>
      </c>
      <c r="F7" s="15">
        <v>1555</v>
      </c>
      <c r="G7" s="18">
        <f>E7-F7</f>
        <v>997</v>
      </c>
      <c r="H7" s="22">
        <f>G7/D7</f>
        <v>0.31540651692502375</v>
      </c>
      <c r="I7" s="54">
        <f>G7/C7</f>
        <v>1.6371100164203614</v>
      </c>
      <c r="K7" s="64"/>
      <c r="L7" s="55">
        <f>L3</f>
        <v>0.23782696938903389</v>
      </c>
      <c r="M7" s="56">
        <v>2.5</v>
      </c>
    </row>
    <row r="8" spans="1:16" x14ac:dyDescent="0.25">
      <c r="A8" s="4" t="s">
        <v>4</v>
      </c>
      <c r="B8" s="7">
        <v>3074060433</v>
      </c>
      <c r="C8" s="13">
        <v>1614</v>
      </c>
      <c r="D8" s="17">
        <v>4774</v>
      </c>
      <c r="E8" s="15">
        <f>D8-C8</f>
        <v>3160</v>
      </c>
      <c r="F8" s="15">
        <v>2071</v>
      </c>
      <c r="G8" s="18">
        <f>E8-F8</f>
        <v>1089</v>
      </c>
      <c r="H8" s="22">
        <f>G8/D8</f>
        <v>0.22811059907834103</v>
      </c>
      <c r="I8" s="54">
        <f>G8/C8</f>
        <v>0.67472118959107807</v>
      </c>
      <c r="K8" s="62" t="s">
        <v>13</v>
      </c>
      <c r="L8" s="65">
        <v>0</v>
      </c>
      <c r="M8" s="66">
        <f>L2</f>
        <v>0.98832214594358447</v>
      </c>
    </row>
    <row r="9" spans="1:16" x14ac:dyDescent="0.25">
      <c r="A9" s="4" t="s">
        <v>8</v>
      </c>
      <c r="B9" s="7">
        <v>2143422498</v>
      </c>
      <c r="C9" s="13">
        <v>1900</v>
      </c>
      <c r="D9" s="17">
        <v>8354</v>
      </c>
      <c r="E9" s="15">
        <f>D9-C9</f>
        <v>6454</v>
      </c>
      <c r="F9" s="15">
        <v>3789</v>
      </c>
      <c r="G9" s="18">
        <f>E9-F9</f>
        <v>2665</v>
      </c>
      <c r="H9" s="22">
        <f>G9/D9</f>
        <v>0.31900885803208046</v>
      </c>
      <c r="I9" s="54">
        <f>G9/C9</f>
        <v>1.4026315789473685</v>
      </c>
      <c r="K9" s="63"/>
      <c r="L9" s="57">
        <v>1</v>
      </c>
      <c r="M9" s="58">
        <f>L2</f>
        <v>0.98832214594358447</v>
      </c>
    </row>
    <row r="10" spans="1:16" x14ac:dyDescent="0.25">
      <c r="A10" s="4" t="s">
        <v>20</v>
      </c>
      <c r="B10" s="7">
        <v>3549857842</v>
      </c>
      <c r="C10" s="13">
        <v>2685</v>
      </c>
      <c r="D10" s="17">
        <v>11256</v>
      </c>
      <c r="E10" s="15">
        <f>D10-C10</f>
        <v>8571</v>
      </c>
      <c r="F10" s="15">
        <v>4510</v>
      </c>
      <c r="G10" s="18">
        <f>E10-F10</f>
        <v>4061</v>
      </c>
      <c r="H10" s="22">
        <f>G10/D10</f>
        <v>0.36078535891968727</v>
      </c>
      <c r="I10" s="54">
        <f>G10/C10</f>
        <v>1.5124767225325884</v>
      </c>
    </row>
    <row r="11" spans="1:16" x14ac:dyDescent="0.25">
      <c r="A11" s="5" t="s">
        <v>19</v>
      </c>
      <c r="B11" s="8">
        <v>2967583833</v>
      </c>
      <c r="C11" s="19">
        <v>2200</v>
      </c>
      <c r="D11" s="17">
        <v>12349</v>
      </c>
      <c r="E11" s="20">
        <f>D11-C11</f>
        <v>10149</v>
      </c>
      <c r="F11" s="20">
        <v>4918</v>
      </c>
      <c r="G11" s="18">
        <f>E11-F11</f>
        <v>5231</v>
      </c>
      <c r="H11" s="22">
        <f>G11/D11</f>
        <v>0.42359705239290629</v>
      </c>
      <c r="I11" s="54">
        <f>G11/C11</f>
        <v>2.3777272727272729</v>
      </c>
    </row>
  </sheetData>
  <mergeCells count="4">
    <mergeCell ref="K1:L1"/>
    <mergeCell ref="K5:M5"/>
    <mergeCell ref="K6:K7"/>
    <mergeCell ref="K8:K9"/>
  </mergeCells>
  <conditionalFormatting sqref="H1:H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FFC3-1785-401B-A450-6A836DC90D69}">
  <dimension ref="A1"/>
  <sheetViews>
    <sheetView workbookViewId="0">
      <selection activeCell="K11" sqref="K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Дашборд</vt:lpstr>
      <vt:lpstr>Расчет</vt:lpstr>
      <vt:lpstr>Вводные 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2026-06-01T11:00:16Z</dcterms:created>
  <dcterms:modified xsi:type="dcterms:W3CDTF">2026-06-03T13:46:47Z</dcterms:modified>
</cp:coreProperties>
</file>